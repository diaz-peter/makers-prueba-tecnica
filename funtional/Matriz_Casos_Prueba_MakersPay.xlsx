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 Control" sheetId="1" r:id="rId4"/>
    <sheet state="visible" name="Casos de Prueba" sheetId="2" r:id="rId5"/>
  </sheets>
  <definedNames>
    <definedName hidden="1" localSheetId="1" name="_xlnm._FilterDatabase">'Casos de Prueba'!$A$4:$J$19</definedName>
  </definedNames>
  <calcPr/>
  <extLst>
    <ext uri="GoogleSheetsCustomDataVersion2">
      <go:sheetsCustomData xmlns:go="http://customooxmlschemas.google.com/" r:id="rId6" roundtripDataChecksum="rqO+wDkeYZpTA34f9SfPYMaXNGWqA0PpiQXfuXlahA0="/>
    </ext>
  </extLst>
</workbook>
</file>

<file path=xl/sharedStrings.xml><?xml version="1.0" encoding="utf-8"?>
<sst xmlns="http://schemas.openxmlformats.org/spreadsheetml/2006/main" count="166" uniqueCount="105">
  <si>
    <t>DASHBOARD DE CONTROL - TESTING QA</t>
  </si>
  <si>
    <t>Proyecto: MakersPay | Matriz de Casos de Prueba Profesional</t>
  </si>
  <si>
    <t>TOTAL CASOS</t>
  </si>
  <si>
    <t>PRIORIDAD ALTA</t>
  </si>
  <si>
    <t>Métricas por Prioridad</t>
  </si>
  <si>
    <t>Métricas por Tipo de Prueba</t>
  </si>
  <si>
    <t>Prioridad</t>
  </si>
  <si>
    <t>Cantidad</t>
  </si>
  <si>
    <t>Tipo de Prueba</t>
  </si>
  <si>
    <t>Alta</t>
  </si>
  <si>
    <t>Funcional - Happy path</t>
  </si>
  <si>
    <t>Media</t>
  </si>
  <si>
    <t>Funcional</t>
  </si>
  <si>
    <t>Baja</t>
  </si>
  <si>
    <t>Funcional - Negativo</t>
  </si>
  <si>
    <t>Total</t>
  </si>
  <si>
    <t>No funcional - Concurrencia</t>
  </si>
  <si>
    <t>Usabilidad</t>
  </si>
  <si>
    <t>MATRIZ DE CASOS DE PRUEBA - MAKERSPAY</t>
  </si>
  <si>
    <t>ID</t>
  </si>
  <si>
    <t>Escenario</t>
  </si>
  <si>
    <t>Precondición</t>
  </si>
  <si>
    <t>Pasos</t>
  </si>
  <si>
    <t>Resultado Esperado</t>
  </si>
  <si>
    <t>Técnica</t>
  </si>
  <si>
    <t>Tipo</t>
  </si>
  <si>
    <t>Estado de Ejecución</t>
  </si>
  <si>
    <t>Notas</t>
  </si>
  <si>
    <t>CP-01</t>
  </si>
  <si>
    <t>Envío exitoso dentro de reglas de negocio</t>
  </si>
  <si>
    <t>Usuario autenticado, saldo $50.000, destinatario válido</t>
  </si>
  <si>
    <t>1. Ingresar número destinatario válido 2. Ingresar monto $20.000 3. Confirmar envío</t>
  </si>
  <si>
    <t>Saldo remitente -$20.000, saldo destinatario +$20.000, movimiento registrado en ambos historiales</t>
  </si>
  <si>
    <t>Partición equivalente (clase válida)</t>
  </si>
  <si>
    <t>Pendiente</t>
  </si>
  <si>
    <t>CP-02</t>
  </si>
  <si>
    <t>Monto igual al mínimo permitido</t>
  </si>
  <si>
    <t>Saldo suficiente</t>
  </si>
  <si>
    <t>Enviar exactamente $5.000</t>
  </si>
  <si>
    <t>Transacción exitosa</t>
  </si>
  <si>
    <t>Valores límite</t>
  </si>
  <si>
    <t>CP-03</t>
  </si>
  <si>
    <t>Monto por debajo del mínimo</t>
  </si>
  <si>
    <t>Enviar $4.999</t>
  </si>
  <si>
    <t>Error: "El monto mínimo es $5.000 COP", saldo no se modifica</t>
  </si>
  <si>
    <t>CP-04</t>
  </si>
  <si>
    <t>Monto igual al máximo permitido</t>
  </si>
  <si>
    <t>Saldo ≥ $2.000.000</t>
  </si>
  <si>
    <t>Enviar exactamente $2.000.000</t>
  </si>
  <si>
    <t>CP-05</t>
  </si>
  <si>
    <t>Monto por encima del máximo</t>
  </si>
  <si>
    <t>Saldo ≥ $2.000.001</t>
  </si>
  <si>
    <t>Enviar $2.000.001</t>
  </si>
  <si>
    <t>Error: "El monto máximo es $2.000.000 COP", saldo no se modifica</t>
  </si>
  <si>
    <t>CP-06</t>
  </si>
  <si>
    <t>Saldo insuficiente</t>
  </si>
  <si>
    <t>Saldo $10.000</t>
  </si>
  <si>
    <t>Enviar $15.000</t>
  </si>
  <si>
    <t>Error: "Saldo insuficiente", saldo no se modifica</t>
  </si>
  <si>
    <t>Partición equivalente (clase inválida)</t>
  </si>
  <si>
    <t>CP-07</t>
  </si>
  <si>
    <t>Envío al mismo número de celular</t>
  </si>
  <si>
    <t>Usuario autenticado</t>
  </si>
  <si>
    <t>Ingresar el propio número como destinatario</t>
  </si>
  <si>
    <t>Error: "No puede enviarse dinero a sí mismo", saldo no se modifica</t>
  </si>
  <si>
    <t>Tabla de decisión</t>
  </si>
  <si>
    <t>CP-08</t>
  </si>
  <si>
    <t>Destinatario no registrado</t>
  </si>
  <si>
    <t>Número no existe en el sistema</t>
  </si>
  <si>
    <t>Ingresar número inexistente + monto válido</t>
  </si>
  <si>
    <t>Error claro: "El número no está registrado", saldo no se modifica</t>
  </si>
  <si>
    <t>Partición equivalente</t>
  </si>
  <si>
    <t>CP-09</t>
  </si>
  <si>
    <t>Campo monto vacío</t>
  </si>
  <si>
    <t>Dejar monto en blanco y confirmar</t>
  </si>
  <si>
    <t>Error de validación, no permite continuar</t>
  </si>
  <si>
    <t>CP-10</t>
  </si>
  <si>
    <t>Campo número de celular vacío</t>
  </si>
  <si>
    <t>Dejar número en blanco y confirmar</t>
  </si>
  <si>
    <t>CP-11</t>
  </si>
  <si>
    <t>Caracteres no numéricos en el monto</t>
  </si>
  <si>
    <t>Ingresar "abc" como monto</t>
  </si>
  <si>
    <t>Error de validación / campo rechaza entrada no numérica</t>
  </si>
  <si>
    <t>CP-12</t>
  </si>
  <si>
    <t>Verificación de historial post-transacción exitosa</t>
  </si>
  <si>
    <t>Transacción exitosa previa</t>
  </si>
  <si>
    <t>Consultar historial de remitente y destinatario</t>
  </si>
  <si>
    <t>El movimiento aparece reflejado correctamente en ambos historiales con monto, fecha y contraparte</t>
  </si>
  <si>
    <t>CP-13</t>
  </si>
  <si>
    <t>Transacción fallida no afecta saldo</t>
  </si>
  <si>
    <t>Cualquier escenario de error (CP-03 a CP-11)</t>
  </si>
  <si>
    <t>Verificar saldo antes y después del intento fallido</t>
  </si>
  <si>
    <t>El saldo permanece exactamente igual</t>
  </si>
  <si>
    <t>Transición de estados</t>
  </si>
  <si>
    <t>CP-14</t>
  </si>
  <si>
    <t>Envíos simultáneos del mismo usuario (condición de carrera)</t>
  </si>
  <si>
    <t>Saldo $10.000, dos envíos de $8.000 en paralelo</t>
  </si>
  <si>
    <t>Disparar dos transacciones simultáneas que en conjunto superan el saldo</t>
  </si>
  <si>
    <t>Solo una transacción se procesa, la otra falla por saldo insuficiente; el saldo nunca queda negativo</t>
  </si>
  <si>
    <t>CP-15</t>
  </si>
  <si>
    <t>Mensaje de error visible y claro</t>
  </si>
  <si>
    <t>Cualquier escenario de error</t>
  </si>
  <si>
    <t>Provocar cualquier error de negocio</t>
  </si>
  <si>
    <t>El mensaje de error es comprensible para el usuario final (no un error técnico/código crudo)</t>
  </si>
  <si>
    <t>Exploratoria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</si>
</sst>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6.0"/>
      <color rgb="FF1F4E79"/>
      <name val="Quattrocento Sans"/>
    </font>
    <font>
      <i/>
      <sz val="10.0"/>
      <color rgb="FF595959"/>
      <name val="Quattrocento Sans"/>
    </font>
    <font>
      <b/>
      <sz val="9.0"/>
      <color rgb="FF595959"/>
      <name val="Quattrocento Sans"/>
    </font>
    <font/>
    <font>
      <b/>
      <sz val="18.0"/>
      <color rgb="FF1F4E79"/>
      <name val="Quattrocento Sans"/>
    </font>
    <font>
      <b/>
      <sz val="18.0"/>
      <color rgb="FF78281F"/>
      <name val="Quattrocento Sans"/>
    </font>
    <font>
      <b/>
      <sz val="12.0"/>
      <color rgb="FF2C3E50"/>
      <name val="Quattrocento Sans"/>
    </font>
    <font>
      <b/>
      <sz val="11.0"/>
      <color rgb="FFFFFFFF"/>
      <name val="Quattrocento Sans"/>
    </font>
    <font>
      <sz val="11.0"/>
      <color theme="1"/>
      <name val="Quattrocento Sans"/>
    </font>
    <font>
      <b/>
      <sz val="11.0"/>
      <color theme="1"/>
      <name val="Quattrocento Sans"/>
    </font>
    <font>
      <b/>
      <sz val="14.0"/>
      <color rgb="FF1F4E79"/>
      <name val="Quattrocento Sans"/>
    </font>
    <font>
      <color theme="1"/>
      <name val="Calibri"/>
      <scheme val="minor"/>
    </font>
    <font>
      <b/>
      <sz val="11.0"/>
      <color rgb="FF78281F"/>
      <name val="Quattrocento Sans"/>
    </font>
    <font>
      <sz val="11.0"/>
      <color rgb="FF5D6D7E"/>
      <name val="Quattrocento Sans"/>
    </font>
    <font>
      <b/>
      <sz val="11.0"/>
      <color rgb="FF7D6608"/>
      <name val="Quattrocento Sans"/>
    </font>
  </fonts>
  <fills count="9">
    <fill>
      <patternFill patternType="none"/>
    </fill>
    <fill>
      <patternFill patternType="lightGray"/>
    </fill>
    <fill>
      <patternFill patternType="solid">
        <fgColor rgb="FFE9EEF4"/>
        <bgColor rgb="FFE9EEF4"/>
      </patternFill>
    </fill>
    <fill>
      <patternFill patternType="solid">
        <fgColor rgb="FFFADBD8"/>
        <bgColor rgb="FFFADBD8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4F6F7"/>
        <bgColor rgb="FFF4F6F7"/>
      </patternFill>
    </fill>
    <fill>
      <patternFill patternType="solid">
        <fgColor rgb="FFF2F6F9"/>
        <bgColor rgb="FFF2F6F9"/>
      </patternFill>
    </fill>
    <fill>
      <patternFill patternType="solid">
        <fgColor rgb="FFFCF3CF"/>
        <bgColor rgb="FFFCF3CF"/>
      </patternFill>
    </fill>
  </fills>
  <borders count="6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double">
        <color rgb="FF1F4E7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1" fillId="3" fontId="3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0" fillId="0" fontId="7" numFmtId="0" xfId="0" applyFont="1"/>
    <xf borderId="3" fillId="4" fontId="8" numFmtId="0" xfId="0" applyBorder="1" applyFill="1" applyFont="1"/>
    <xf borderId="4" fillId="0" fontId="9" numFmtId="0" xfId="0" applyBorder="1" applyFont="1"/>
    <xf borderId="5" fillId="0" fontId="10" numFmtId="0" xfId="0" applyBorder="1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3" fillId="4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vertical="top"/>
    </xf>
    <xf borderId="4" fillId="5" fontId="9" numFmtId="0" xfId="0" applyAlignment="1" applyBorder="1" applyFont="1">
      <alignment horizontal="center" shrinkToFit="0" vertical="top" wrapText="1"/>
    </xf>
    <xf borderId="4" fillId="3" fontId="13" numFmtId="0" xfId="0" applyAlignment="1" applyBorder="1" applyFont="1">
      <alignment horizontal="center" vertical="top"/>
    </xf>
    <xf borderId="4" fillId="6" fontId="14" numFmtId="0" xfId="0" applyAlignment="1" applyBorder="1" applyFill="1" applyFont="1">
      <alignment horizontal="center" vertical="top"/>
    </xf>
    <xf borderId="4" fillId="5" fontId="9" numFmtId="0" xfId="0" applyAlignment="1" applyBorder="1" applyFont="1">
      <alignment horizontal="left" shrinkToFit="0" vertical="top" wrapText="1"/>
    </xf>
    <xf borderId="4" fillId="7" fontId="9" numFmtId="0" xfId="0" applyAlignment="1" applyBorder="1" applyFill="1" applyFont="1">
      <alignment horizontal="center" vertical="top"/>
    </xf>
    <xf borderId="4" fillId="7" fontId="9" numFmtId="0" xfId="0" applyAlignment="1" applyBorder="1" applyFont="1">
      <alignment horizontal="center" shrinkToFit="0" vertical="top" wrapText="1"/>
    </xf>
    <xf borderId="4" fillId="7" fontId="9" numFmtId="0" xfId="0" applyAlignment="1" applyBorder="1" applyFont="1">
      <alignment horizontal="left" shrinkToFit="0" vertical="top" wrapText="1"/>
    </xf>
    <xf borderId="4" fillId="8" fontId="15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Prioridad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'Resumen de Control'!$C$10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'Resumen de Control'!$B$11:$B$13</c:f>
            </c:strRef>
          </c:cat>
          <c:val>
            <c:numRef>
              <c:f>'Resumen de Control'!$C$11:$C$13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0</xdr:rowOff>
    </xdr:from>
    <xdr:ext cx="3952875" cy="2514600"/>
    <xdr:graphicFrame>
      <xdr:nvGraphicFramePr>
        <xdr:cNvPr id="452851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5.0"/>
    <col customWidth="1" min="3" max="3" width="15.0"/>
    <col customWidth="1" min="4" max="4" width="5.0"/>
    <col customWidth="1" min="5" max="5" width="25.0"/>
    <col customWidth="1" min="6" max="6" width="15.0"/>
    <col customWidth="1" min="7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4"/>
      <c r="E5" s="5" t="s">
        <v>3</v>
      </c>
      <c r="F5" s="4"/>
    </row>
    <row r="6">
      <c r="B6" s="6">
        <f>COUNTA('Casos de Prueba'!A5:A19)</f>
        <v>15</v>
      </c>
      <c r="C6" s="4"/>
      <c r="E6" s="7">
        <f>COUNTIF('Casos de Prueba'!H5:H19, "Alta")</f>
        <v>9</v>
      </c>
      <c r="F6" s="4"/>
    </row>
    <row r="9">
      <c r="B9" s="8" t="s">
        <v>4</v>
      </c>
      <c r="E9" s="8" t="s">
        <v>5</v>
      </c>
    </row>
    <row r="10">
      <c r="B10" s="9" t="s">
        <v>6</v>
      </c>
      <c r="C10" s="9" t="s">
        <v>7</v>
      </c>
      <c r="E10" s="9" t="s">
        <v>8</v>
      </c>
      <c r="F10" s="9" t="s">
        <v>7</v>
      </c>
    </row>
    <row r="11">
      <c r="B11" s="10" t="s">
        <v>9</v>
      </c>
      <c r="C11" s="10">
        <f>COUNTIF('Casos de Prueba'!H5:H19, "Alta")</f>
        <v>9</v>
      </c>
      <c r="E11" s="10" t="s">
        <v>10</v>
      </c>
      <c r="F11" s="10">
        <f>COUNTIF('Casos de Prueba'!G5:G19, "Funcional - Happy path")</f>
        <v>1</v>
      </c>
    </row>
    <row r="12">
      <c r="B12" s="10" t="s">
        <v>11</v>
      </c>
      <c r="C12" s="10">
        <f>COUNTIF('Casos de Prueba'!H5:H19, "Media")</f>
        <v>6</v>
      </c>
      <c r="E12" s="10" t="s">
        <v>12</v>
      </c>
      <c r="F12" s="10">
        <f>COUNTIF('Casos de Prueba'!G5:G19, "Funcional")</f>
        <v>4</v>
      </c>
    </row>
    <row r="13">
      <c r="B13" s="10" t="s">
        <v>13</v>
      </c>
      <c r="C13" s="10">
        <f>COUNTIF('Casos de Prueba'!H5:H19, "Baja")</f>
        <v>0</v>
      </c>
      <c r="E13" s="10" t="s">
        <v>14</v>
      </c>
      <c r="F13" s="10">
        <f>COUNTIF('Casos de Prueba'!G5:G19, "Funcional - Negativo")</f>
        <v>8</v>
      </c>
    </row>
    <row r="14">
      <c r="B14" s="11" t="s">
        <v>15</v>
      </c>
      <c r="C14" s="11">
        <f>SUM(C11:C13)</f>
        <v>15</v>
      </c>
      <c r="E14" s="10" t="s">
        <v>16</v>
      </c>
      <c r="F14" s="10">
        <f>COUNTIF('Casos de Prueba'!G5:G19, "No funcional - Concurrencia")</f>
        <v>1</v>
      </c>
    </row>
    <row r="15">
      <c r="E15" s="10" t="s">
        <v>17</v>
      </c>
      <c r="F15" s="10">
        <f>COUNTIF('Casos de Prueba'!G5:G19, "Usabilidad")</f>
        <v>1</v>
      </c>
    </row>
    <row r="16">
      <c r="E16" s="11" t="s">
        <v>15</v>
      </c>
      <c r="F16" s="11">
        <f>SUM(F11:F15)</f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5:C5"/>
    <mergeCell ref="E5:F5"/>
    <mergeCell ref="B6:C6"/>
    <mergeCell ref="E6:F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5.0"/>
    <col customWidth="1" min="4" max="5" width="35.0"/>
    <col customWidth="1" min="6" max="6" width="22.0"/>
    <col customWidth="1" min="7" max="7" width="25.0"/>
    <col customWidth="1" min="8" max="8" width="12.0"/>
    <col customWidth="1" min="9" max="9" width="15.0"/>
    <col customWidth="1" min="10" max="10" width="20.0"/>
    <col customWidth="1" min="11" max="26" width="8.71"/>
  </cols>
  <sheetData>
    <row r="2">
      <c r="A2" s="12" t="s">
        <v>18</v>
      </c>
      <c r="B2" s="13"/>
      <c r="C2" s="13"/>
      <c r="D2" s="13"/>
      <c r="E2" s="13"/>
      <c r="F2" s="13"/>
      <c r="G2" s="13"/>
      <c r="H2" s="13"/>
      <c r="I2" s="13"/>
    </row>
    <row r="3">
      <c r="A3" s="13"/>
      <c r="B3" s="13"/>
      <c r="C3" s="13"/>
      <c r="D3" s="13"/>
      <c r="E3" s="13"/>
      <c r="F3" s="13"/>
      <c r="G3" s="13"/>
      <c r="H3" s="13"/>
      <c r="I3" s="13"/>
    </row>
    <row r="4" ht="27.75" customHeight="1">
      <c r="A4" s="14" t="s">
        <v>19</v>
      </c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25</v>
      </c>
      <c r="H4" s="14" t="s">
        <v>6</v>
      </c>
      <c r="I4" s="14" t="s">
        <v>26</v>
      </c>
      <c r="J4" s="14" t="s">
        <v>27</v>
      </c>
    </row>
    <row r="5" ht="42.0" customHeight="1">
      <c r="A5" s="15" t="s">
        <v>28</v>
      </c>
      <c r="B5" s="16" t="s">
        <v>29</v>
      </c>
      <c r="C5" s="16" t="s">
        <v>30</v>
      </c>
      <c r="D5" s="16" t="s">
        <v>31</v>
      </c>
      <c r="E5" s="16" t="s">
        <v>32</v>
      </c>
      <c r="F5" s="16" t="s">
        <v>33</v>
      </c>
      <c r="G5" s="16" t="s">
        <v>10</v>
      </c>
      <c r="H5" s="17" t="s">
        <v>9</v>
      </c>
      <c r="I5" s="18" t="s">
        <v>34</v>
      </c>
      <c r="J5" s="19"/>
    </row>
    <row r="6" ht="42.0" customHeight="1">
      <c r="A6" s="20" t="s">
        <v>35</v>
      </c>
      <c r="B6" s="21" t="s">
        <v>36</v>
      </c>
      <c r="C6" s="21" t="s">
        <v>37</v>
      </c>
      <c r="D6" s="21" t="s">
        <v>38</v>
      </c>
      <c r="E6" s="21" t="s">
        <v>39</v>
      </c>
      <c r="F6" s="21" t="s">
        <v>40</v>
      </c>
      <c r="G6" s="21" t="s">
        <v>12</v>
      </c>
      <c r="H6" s="17" t="s">
        <v>9</v>
      </c>
      <c r="I6" s="18" t="s">
        <v>34</v>
      </c>
      <c r="J6" s="22"/>
    </row>
    <row r="7" ht="42.0" customHeight="1">
      <c r="A7" s="15" t="s">
        <v>41</v>
      </c>
      <c r="B7" s="16" t="s">
        <v>42</v>
      </c>
      <c r="C7" s="16" t="s">
        <v>37</v>
      </c>
      <c r="D7" s="16" t="s">
        <v>43</v>
      </c>
      <c r="E7" s="16" t="s">
        <v>44</v>
      </c>
      <c r="F7" s="16" t="s">
        <v>40</v>
      </c>
      <c r="G7" s="16" t="s">
        <v>14</v>
      </c>
      <c r="H7" s="17" t="s">
        <v>9</v>
      </c>
      <c r="I7" s="18" t="s">
        <v>34</v>
      </c>
      <c r="J7" s="19"/>
    </row>
    <row r="8" ht="42.0" customHeight="1">
      <c r="A8" s="20" t="s">
        <v>45</v>
      </c>
      <c r="B8" s="21" t="s">
        <v>46</v>
      </c>
      <c r="C8" s="21" t="s">
        <v>47</v>
      </c>
      <c r="D8" s="21" t="s">
        <v>48</v>
      </c>
      <c r="E8" s="21" t="s">
        <v>39</v>
      </c>
      <c r="F8" s="21" t="s">
        <v>40</v>
      </c>
      <c r="G8" s="21" t="s">
        <v>12</v>
      </c>
      <c r="H8" s="17" t="s">
        <v>9</v>
      </c>
      <c r="I8" s="18" t="s">
        <v>34</v>
      </c>
      <c r="J8" s="22"/>
    </row>
    <row r="9" ht="42.0" customHeight="1">
      <c r="A9" s="15" t="s">
        <v>49</v>
      </c>
      <c r="B9" s="16" t="s">
        <v>50</v>
      </c>
      <c r="C9" s="16" t="s">
        <v>51</v>
      </c>
      <c r="D9" s="16" t="s">
        <v>52</v>
      </c>
      <c r="E9" s="16" t="s">
        <v>53</v>
      </c>
      <c r="F9" s="16" t="s">
        <v>40</v>
      </c>
      <c r="G9" s="16" t="s">
        <v>14</v>
      </c>
      <c r="H9" s="17" t="s">
        <v>9</v>
      </c>
      <c r="I9" s="18" t="s">
        <v>34</v>
      </c>
      <c r="J9" s="19"/>
    </row>
    <row r="10" ht="42.0" customHeight="1">
      <c r="A10" s="20" t="s">
        <v>54</v>
      </c>
      <c r="B10" s="21" t="s">
        <v>55</v>
      </c>
      <c r="C10" s="21" t="s">
        <v>56</v>
      </c>
      <c r="D10" s="21" t="s">
        <v>57</v>
      </c>
      <c r="E10" s="21" t="s">
        <v>58</v>
      </c>
      <c r="F10" s="21" t="s">
        <v>59</v>
      </c>
      <c r="G10" s="21" t="s">
        <v>14</v>
      </c>
      <c r="H10" s="17" t="s">
        <v>9</v>
      </c>
      <c r="I10" s="18" t="s">
        <v>34</v>
      </c>
      <c r="J10" s="22"/>
    </row>
    <row r="11" ht="42.0" customHeight="1">
      <c r="A11" s="15" t="s">
        <v>60</v>
      </c>
      <c r="B11" s="16" t="s">
        <v>61</v>
      </c>
      <c r="C11" s="16" t="s">
        <v>62</v>
      </c>
      <c r="D11" s="16" t="s">
        <v>63</v>
      </c>
      <c r="E11" s="16" t="s">
        <v>64</v>
      </c>
      <c r="F11" s="16" t="s">
        <v>65</v>
      </c>
      <c r="G11" s="16" t="s">
        <v>14</v>
      </c>
      <c r="H11" s="17" t="s">
        <v>9</v>
      </c>
      <c r="I11" s="18" t="s">
        <v>34</v>
      </c>
      <c r="J11" s="19"/>
    </row>
    <row r="12" ht="42.0" customHeight="1">
      <c r="A12" s="20" t="s">
        <v>66</v>
      </c>
      <c r="B12" s="21" t="s">
        <v>67</v>
      </c>
      <c r="C12" s="21" t="s">
        <v>68</v>
      </c>
      <c r="D12" s="21" t="s">
        <v>69</v>
      </c>
      <c r="E12" s="21" t="s">
        <v>70</v>
      </c>
      <c r="F12" s="21" t="s">
        <v>71</v>
      </c>
      <c r="G12" s="21" t="s">
        <v>14</v>
      </c>
      <c r="H12" s="23" t="s">
        <v>11</v>
      </c>
      <c r="I12" s="18" t="s">
        <v>34</v>
      </c>
      <c r="J12" s="22"/>
    </row>
    <row r="13" ht="42.0" customHeight="1">
      <c r="A13" s="15" t="s">
        <v>72</v>
      </c>
      <c r="B13" s="16" t="s">
        <v>73</v>
      </c>
      <c r="C13" s="16" t="s">
        <v>62</v>
      </c>
      <c r="D13" s="16" t="s">
        <v>74</v>
      </c>
      <c r="E13" s="16" t="s">
        <v>75</v>
      </c>
      <c r="F13" s="16" t="s">
        <v>40</v>
      </c>
      <c r="G13" s="16" t="s">
        <v>14</v>
      </c>
      <c r="H13" s="23" t="s">
        <v>11</v>
      </c>
      <c r="I13" s="18" t="s">
        <v>34</v>
      </c>
      <c r="J13" s="19"/>
    </row>
    <row r="14" ht="42.0" customHeight="1">
      <c r="A14" s="20" t="s">
        <v>76</v>
      </c>
      <c r="B14" s="21" t="s">
        <v>77</v>
      </c>
      <c r="C14" s="21" t="s">
        <v>62</v>
      </c>
      <c r="D14" s="21" t="s">
        <v>78</v>
      </c>
      <c r="E14" s="21" t="s">
        <v>75</v>
      </c>
      <c r="F14" s="21" t="s">
        <v>40</v>
      </c>
      <c r="G14" s="21" t="s">
        <v>14</v>
      </c>
      <c r="H14" s="23" t="s">
        <v>11</v>
      </c>
      <c r="I14" s="18" t="s">
        <v>34</v>
      </c>
      <c r="J14" s="22"/>
    </row>
    <row r="15" ht="42.0" customHeight="1">
      <c r="A15" s="15" t="s">
        <v>79</v>
      </c>
      <c r="B15" s="16" t="s">
        <v>80</v>
      </c>
      <c r="C15" s="16" t="s">
        <v>62</v>
      </c>
      <c r="D15" s="16" t="s">
        <v>81</v>
      </c>
      <c r="E15" s="16" t="s">
        <v>82</v>
      </c>
      <c r="F15" s="16" t="s">
        <v>71</v>
      </c>
      <c r="G15" s="16" t="s">
        <v>14</v>
      </c>
      <c r="H15" s="23" t="s">
        <v>11</v>
      </c>
      <c r="I15" s="18" t="s">
        <v>34</v>
      </c>
      <c r="J15" s="19"/>
    </row>
    <row r="16" ht="42.0" customHeight="1">
      <c r="A16" s="20" t="s">
        <v>83</v>
      </c>
      <c r="B16" s="21" t="s">
        <v>84</v>
      </c>
      <c r="C16" s="21" t="s">
        <v>85</v>
      </c>
      <c r="D16" s="21" t="s">
        <v>86</v>
      </c>
      <c r="E16" s="21" t="s">
        <v>87</v>
      </c>
      <c r="F16" s="21" t="s">
        <v>65</v>
      </c>
      <c r="G16" s="21" t="s">
        <v>12</v>
      </c>
      <c r="H16" s="17" t="s">
        <v>9</v>
      </c>
      <c r="I16" s="18" t="s">
        <v>34</v>
      </c>
      <c r="J16" s="22"/>
    </row>
    <row r="17" ht="42.0" customHeight="1">
      <c r="A17" s="15" t="s">
        <v>88</v>
      </c>
      <c r="B17" s="16" t="s">
        <v>89</v>
      </c>
      <c r="C17" s="16" t="s">
        <v>90</v>
      </c>
      <c r="D17" s="16" t="s">
        <v>91</v>
      </c>
      <c r="E17" s="16" t="s">
        <v>92</v>
      </c>
      <c r="F17" s="16" t="s">
        <v>93</v>
      </c>
      <c r="G17" s="16" t="s">
        <v>12</v>
      </c>
      <c r="H17" s="17" t="s">
        <v>9</v>
      </c>
      <c r="I17" s="18" t="s">
        <v>34</v>
      </c>
      <c r="J17" s="19"/>
    </row>
    <row r="18" ht="42.0" customHeight="1">
      <c r="A18" s="20" t="s">
        <v>94</v>
      </c>
      <c r="B18" s="21" t="s">
        <v>95</v>
      </c>
      <c r="C18" s="21" t="s">
        <v>96</v>
      </c>
      <c r="D18" s="21" t="s">
        <v>97</v>
      </c>
      <c r="E18" s="21" t="s">
        <v>98</v>
      </c>
      <c r="F18" s="21" t="s">
        <v>93</v>
      </c>
      <c r="G18" s="21" t="s">
        <v>16</v>
      </c>
      <c r="H18" s="23" t="s">
        <v>11</v>
      </c>
      <c r="I18" s="18" t="s">
        <v>34</v>
      </c>
      <c r="J18" s="22"/>
    </row>
    <row r="19" ht="42.0" customHeight="1">
      <c r="A19" s="15" t="s">
        <v>99</v>
      </c>
      <c r="B19" s="16" t="s">
        <v>100</v>
      </c>
      <c r="C19" s="16" t="s">
        <v>101</v>
      </c>
      <c r="D19" s="16" t="s">
        <v>102</v>
      </c>
      <c r="E19" s="16" t="s">
        <v>103</v>
      </c>
      <c r="F19" s="16" t="s">
        <v>104</v>
      </c>
      <c r="G19" s="16" t="s">
        <v>17</v>
      </c>
      <c r="H19" s="23" t="s">
        <v>11</v>
      </c>
      <c r="I19" s="18" t="s">
        <v>34</v>
      </c>
      <c r="J19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19"/>
  <dataValidations>
    <dataValidation type="list" allowBlank="1" sqref="I5:I19">
      <formula1>"Pendiente,Exitoso,Fallido,Bloqueado"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2026-06-23T03:53:33Z</dcterms:created>
  <dc:creator>openpyxl</dc:creator>
</cp:coreProperties>
</file>